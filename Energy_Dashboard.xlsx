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24f1d979643a7b/Desktop/"/>
    </mc:Choice>
  </mc:AlternateContent>
  <xr:revisionPtr revIDLastSave="6" documentId="8_{7FF67A72-8016-4280-94E7-A67CA9707BC1}" xr6:coauthVersionLast="47" xr6:coauthVersionMax="47" xr10:uidLastSave="{DA7CC15C-6F0D-409B-91F5-23D0EC9653D0}"/>
  <bookViews>
    <workbookView xWindow="-108" yWindow="-108" windowWidth="23256" windowHeight="12456" activeTab="2" xr2:uid="{9A7ED372-AE84-4BDB-86FF-25D9531C0FCE}"/>
  </bookViews>
  <sheets>
    <sheet name="Dashboard_Overview" sheetId="1" r:id="rId1"/>
    <sheet name="Peak_Load_Analysis" sheetId="2" r:id="rId2"/>
    <sheet name="Monthly_Trend_Analysi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<sst xmlns="http://schemas.openxmlformats.org/spreadsheetml/2006/main" count="27" uniqueCount="24">
  <si>
    <t>ENERGY CONSUMPTION &amp; PEAK LOAD ANALYSIS DASHBOARD</t>
  </si>
  <si>
    <t>Total Energy Consumption</t>
  </si>
  <si>
    <t>Average Hourly Energy Consumption[kwh]</t>
  </si>
  <si>
    <t>Peak Energy Consumption[kwh]</t>
  </si>
  <si>
    <t>Peak Usage[%]</t>
  </si>
  <si>
    <t>PEAK   Vs   TOTAL ENERGY</t>
  </si>
  <si>
    <t>Row Labels</t>
  </si>
  <si>
    <t>Sum of energy_kwh</t>
  </si>
  <si>
    <t>off- peak</t>
  </si>
  <si>
    <t>peak</t>
  </si>
  <si>
    <t>Grand Total</t>
  </si>
  <si>
    <t>MONTH VS TOTAL ENERGY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</si>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</sst>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" fontId="5" fillId="4" borderId="1" xfId="0" applyNumberFormat="1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10" fontId="5" fillId="5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7" fillId="6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Hourly Energy Consumption Pattern</a:t>
            </a:r>
          </a:p>
        </c:rich>
      </c:tx>
      <c:overlay val="0"/>
      <c:spPr>
        <a:noFill/>
        <a:ln>
          <a:solidFill>
            <a:schemeClr val="accent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134567911918094E-2"/>
          <c:y val="0.16756220738426356"/>
          <c:w val="0.84062023589236345"/>
          <c:h val="0.6951154354377343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0.69149321017439114</c:v>
              </c:pt>
              <c:pt idx="1">
                <c:v>0.5503193103448113</c:v>
              </c:pt>
              <c:pt idx="2">
                <c:v>0.47329745511390342</c:v>
              </c:pt>
              <c:pt idx="3">
                <c:v>0.43896022988505656</c:v>
              </c:pt>
              <c:pt idx="4">
                <c:v>0.43618459770114754</c:v>
              </c:pt>
              <c:pt idx="5">
                <c:v>0.45259880459770591</c:v>
              </c:pt>
              <c:pt idx="6">
                <c:v>0.81329954022988937</c:v>
              </c:pt>
              <c:pt idx="7">
                <c:v>1.4785431724138203</c:v>
              </c:pt>
              <c:pt idx="8">
                <c:v>1.475767059960007</c:v>
              </c:pt>
              <c:pt idx="9">
                <c:v>1.3091489723665743</c:v>
              </c:pt>
              <c:pt idx="10">
                <c:v>1.2408833655528255</c:v>
              </c:pt>
              <c:pt idx="11">
                <c:v>1.208491434097869</c:v>
              </c:pt>
              <c:pt idx="12">
                <c:v>1.1767212911235589</c:v>
              </c:pt>
              <c:pt idx="13">
                <c:v>1.1325511850847731</c:v>
              </c:pt>
              <c:pt idx="14">
                <c:v>1.0946179078421907</c:v>
              </c:pt>
              <c:pt idx="15">
                <c:v>1.0111718549128068</c:v>
              </c:pt>
              <c:pt idx="16">
                <c:v>0.95099756590432616</c:v>
              </c:pt>
              <c:pt idx="17">
                <c:v>1.0347045929738761</c:v>
              </c:pt>
              <c:pt idx="18">
                <c:v>1.351101764219427</c:v>
              </c:pt>
              <c:pt idx="19">
                <c:v>1.8291916162171769</c:v>
              </c:pt>
              <c:pt idx="20">
                <c:v>1.9831743855465369</c:v>
              </c:pt>
              <c:pt idx="21">
                <c:v>1.9938203922467803</c:v>
              </c:pt>
              <c:pt idx="22">
                <c:v>1.5023947011961472</c:v>
              </c:pt>
              <c:pt idx="23">
                <c:v>0.96191450872363304</c:v>
              </c:pt>
            </c:numLit>
          </c:val>
          <c:extLst>
            <c:ext xmlns:c16="http://schemas.microsoft.com/office/drawing/2014/chart" uri="{C3380CC4-5D6E-409C-BE32-E72D297353CC}">
              <c16:uniqueId val="{00000001-0EFD-497A-A713-58FBC291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7819264"/>
        <c:axId val="1767820224"/>
      </c:barChart>
      <c:catAx>
        <c:axId val="17678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20224"/>
        <c:crosses val="autoZero"/>
        <c:auto val="1"/>
        <c:lblAlgn val="ctr"/>
        <c:lblOffset val="100"/>
        <c:noMultiLvlLbl val="0"/>
      </c:catAx>
      <c:valAx>
        <c:axId val="17678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1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19114449011597"/>
          <c:y val="2.5970035787345257E-2"/>
          <c:w val="0.17052446352982972"/>
          <c:h val="0.12319048362598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Energy Consumption Trend</a:t>
            </a:r>
          </a:p>
        </c:rich>
      </c:tx>
      <c:layout>
        <c:manualLayout>
          <c:xMode val="edge"/>
          <c:yMode val="edge"/>
          <c:x val="0.3156291898969541"/>
          <c:y val="6.0704955590908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795630984418525E-2"/>
          <c:y val="0.20827584649284397"/>
          <c:w val="0.83731624773766999"/>
          <c:h val="0.6379171766021148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134181.24399999704</c:v>
              </c:pt>
              <c:pt idx="1">
                <c:v>105819.95800000709</c:v>
              </c:pt>
              <c:pt idx="2">
                <c:v>114452.78599999606</c:v>
              </c:pt>
              <c:pt idx="3">
                <c:v>83391.458000003273</c:v>
              </c:pt>
              <c:pt idx="4">
                <c:v>89730.731999995405</c:v>
              </c:pt>
              <c:pt idx="5">
                <c:v>78626.800000007424</c:v>
              </c:pt>
              <c:pt idx="6">
                <c:v>65181.247999999607</c:v>
              </c:pt>
              <c:pt idx="7">
                <c:v>46438.340000027412</c:v>
              </c:pt>
              <c:pt idx="8">
                <c:v>84540.398000000365</c:v>
              </c:pt>
              <c:pt idx="9">
                <c:v>99972.830000000278</c:v>
              </c:pt>
              <c:pt idx="10">
                <c:v>115827.40400000315</c:v>
              </c:pt>
              <c:pt idx="11">
                <c:v>139360.61599999931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D1F-4B05-8887-508964BA70E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41914784"/>
        <c:axId val="241915744"/>
      </c:lineChart>
      <c:catAx>
        <c:axId val="2419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15744"/>
        <c:crosses val="autoZero"/>
        <c:auto val="1"/>
        <c:lblAlgn val="ctr"/>
        <c:lblOffset val="100"/>
        <c:noMultiLvlLbl val="0"/>
      </c:catAx>
      <c:valAx>
        <c:axId val="24191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Peak vs Off-Peak Energy Usage</a:t>
            </a:r>
          </a:p>
        </c:rich>
      </c:tx>
      <c:layout>
        <c:manualLayout>
          <c:xMode val="edge"/>
          <c:yMode val="edge"/>
          <c:x val="0.34382053827245107"/>
          <c:y val="4.0398796623285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off- peak</c:v>
              </c:pt>
              <c:pt idx="1">
                <c:v>peak</c:v>
              </c:pt>
            </c:strLit>
          </c:cat>
          <c:val>
            <c:numLit>
              <c:formatCode>General</c:formatCode>
              <c:ptCount val="2"/>
              <c:pt idx="0">
                <c:v>845521.53000020457</c:v>
              </c:pt>
              <c:pt idx="1">
                <c:v>312002.28399999731</c:v>
              </c:pt>
            </c:numLit>
          </c:val>
          <c:extLst>
            <c:ext xmlns:c16="http://schemas.microsoft.com/office/drawing/2014/chart" uri="{C3380CC4-5D6E-409C-BE32-E72D297353CC}">
              <c16:uniqueId val="{00000000-535D-493B-B304-7F63B38A00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1420559"/>
        <c:axId val="471423439"/>
      </c:barChart>
      <c:catAx>
        <c:axId val="47142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23439"/>
        <c:crosses val="autoZero"/>
        <c:auto val="1"/>
        <c:lblAlgn val="ctr"/>
        <c:lblOffset val="100"/>
        <c:noMultiLvlLbl val="0"/>
      </c:catAx>
      <c:valAx>
        <c:axId val="47142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2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off- peak</c:v>
              </c:pt>
              <c:pt idx="1">
                <c:v>peak</c:v>
              </c:pt>
            </c:strLit>
          </c:cat>
          <c:val>
            <c:numLit>
              <c:formatCode>General</c:formatCode>
              <c:ptCount val="2"/>
              <c:pt idx="0">
                <c:v>845521.53000020457</c:v>
              </c:pt>
              <c:pt idx="1">
                <c:v>312002.28399999731</c:v>
              </c:pt>
            </c:numLit>
          </c:val>
          <c:extLst>
            <c:ext xmlns:c16="http://schemas.microsoft.com/office/drawing/2014/chart" uri="{C3380CC4-5D6E-409C-BE32-E72D297353CC}">
              <c16:uniqueId val="{00000000-4204-458F-9F35-C2BA0FBEC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420559"/>
        <c:axId val="471423439"/>
      </c:barChart>
      <c:catAx>
        <c:axId val="47142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23439"/>
        <c:crosses val="autoZero"/>
        <c:auto val="1"/>
        <c:lblAlgn val="ctr"/>
        <c:lblOffset val="100"/>
        <c:noMultiLvlLbl val="0"/>
      </c:catAx>
      <c:valAx>
        <c:axId val="47142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2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EC-4A8A-8234-F9D52E25C7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EC-4A8A-8234-F9D52E25C7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EC-4A8A-8234-F9D52E25C7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EC-4A8A-8234-F9D52E25C7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EC-4A8A-8234-F9D52E25C7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EC-4A8A-8234-F9D52E25C7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EC-4A8A-8234-F9D52E25C7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EC-4A8A-8234-F9D52E25C79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EC-4A8A-8234-F9D52E25C79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EC-4A8A-8234-F9D52E25C79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2EC-4A8A-8234-F9D52E25C79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2EC-4A8A-8234-F9D52E25C790}"/>
              </c:ext>
            </c:extLst>
          </c:dPt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134181.24399999704</c:v>
              </c:pt>
              <c:pt idx="1">
                <c:v>105819.95800000709</c:v>
              </c:pt>
              <c:pt idx="2">
                <c:v>114452.78599999606</c:v>
              </c:pt>
              <c:pt idx="3">
                <c:v>83391.458000003273</c:v>
              </c:pt>
              <c:pt idx="4">
                <c:v>89730.731999995405</c:v>
              </c:pt>
              <c:pt idx="5">
                <c:v>78626.800000007424</c:v>
              </c:pt>
              <c:pt idx="6">
                <c:v>65181.247999999607</c:v>
              </c:pt>
              <c:pt idx="7">
                <c:v>46438.340000027412</c:v>
              </c:pt>
              <c:pt idx="8">
                <c:v>84540.398000000365</c:v>
              </c:pt>
              <c:pt idx="9">
                <c:v>99972.830000000278</c:v>
              </c:pt>
              <c:pt idx="10">
                <c:v>115827.40400000315</c:v>
              </c:pt>
              <c:pt idx="11">
                <c:v>139360.61599999931</c:v>
              </c:pt>
            </c:numLit>
          </c:val>
          <c:extLst>
            <c:ext xmlns:c16="http://schemas.microsoft.com/office/drawing/2014/chart" uri="{C3380CC4-5D6E-409C-BE32-E72D297353CC}">
              <c16:uniqueId val="{00000018-62EC-4A8A-8234-F9D52E25C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134181.24399999704</c:v>
              </c:pt>
              <c:pt idx="1">
                <c:v>105819.95800000709</c:v>
              </c:pt>
              <c:pt idx="2">
                <c:v>114452.78599999606</c:v>
              </c:pt>
              <c:pt idx="3">
                <c:v>83391.458000003273</c:v>
              </c:pt>
              <c:pt idx="4">
                <c:v>89730.731999995405</c:v>
              </c:pt>
              <c:pt idx="5">
                <c:v>78626.800000007424</c:v>
              </c:pt>
              <c:pt idx="6">
                <c:v>65181.247999999607</c:v>
              </c:pt>
              <c:pt idx="7">
                <c:v>46438.340000027412</c:v>
              </c:pt>
              <c:pt idx="8">
                <c:v>84540.398000000365</c:v>
              </c:pt>
              <c:pt idx="9">
                <c:v>99972.830000000278</c:v>
              </c:pt>
              <c:pt idx="10">
                <c:v>115827.40400000315</c:v>
              </c:pt>
              <c:pt idx="11">
                <c:v>139360.61599999931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44A-45B7-9871-99F87A226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914784"/>
        <c:axId val="241915744"/>
      </c:lineChart>
      <c:catAx>
        <c:axId val="2419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15744"/>
        <c:crosses val="autoZero"/>
        <c:auto val="1"/>
        <c:lblAlgn val="ctr"/>
        <c:lblOffset val="100"/>
        <c:noMultiLvlLbl val="0"/>
      </c:catAx>
      <c:valAx>
        <c:axId val="2419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184727</xdr:colOff>
      <xdr:row>6</xdr:row>
      <xdr:rowOff>127000</xdr:rowOff>
    </xdr:from>
    <xdr:to>
      <xdr:col>4</xdr:col>
      <xdr:colOff>112889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53EDD-0FE9-42EE-BF5A-A6A6D07F9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149670</xdr:colOff>
      <xdr:row>28</xdr:row>
      <xdr:rowOff>40682</xdr:rowOff>
    </xdr:from>
    <xdr:to>
      <xdr:col>4</xdr:col>
      <xdr:colOff>1970941</xdr:colOff>
      <xdr:row>47</xdr:row>
      <xdr:rowOff>73876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F53CA-B237-44C3-BDF6-699AA3B1F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471155</xdr:colOff>
      <xdr:row>6</xdr:row>
      <xdr:rowOff>105298</xdr:rowOff>
    </xdr:from>
    <xdr:to>
      <xdr:col>9</xdr:col>
      <xdr:colOff>195529</xdr:colOff>
      <xdr:row>23</xdr:row>
      <xdr:rowOff>58201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41443A-551F-427C-82C9-099CC425E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2170432</xdr:colOff>
      <xdr:row>27</xdr:row>
      <xdr:rowOff>141105</xdr:rowOff>
    </xdr:from>
    <xdr:to>
      <xdr:col>9</xdr:col>
      <xdr:colOff>285750</xdr:colOff>
      <xdr:row>45</xdr:row>
      <xdr:rowOff>47718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9911CC-AF4D-4922-A665-0E98C65C37B9}"/>
            </a:ext>
          </a:extLst>
        </xdr:cNvPr>
        <xdr:cNvSpPr txBox="1"/>
      </xdr:nvSpPr>
      <xdr:spPr>
        <a:xfrm>
          <a:off x="8776972" y="5307465"/>
          <a:ext cx="4188458" cy="3198453"/>
        </a:xfrm>
        <a:prstGeom prst="rect">
          <a:avLst/>
        </a:prstGeom>
        <a:gradFill>
          <a:gsLst>
            <a:gs pos="33000">
              <a:schemeClr val="accent1">
                <a:lumMod val="5000"/>
                <a:lumOff val="95000"/>
              </a:schemeClr>
            </a:gs>
            <a:gs pos="55000">
              <a:schemeClr val="accent1">
                <a:lumMod val="45000"/>
                <a:lumOff val="55000"/>
              </a:schemeClr>
            </a:gs>
            <a:gs pos="71000">
              <a:schemeClr val="accent1">
                <a:lumMod val="45000"/>
                <a:lumOff val="55000"/>
              </a:schemeClr>
            </a:gs>
            <a:gs pos="91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  <a:t>Key Insights:-</a:t>
          </a:r>
          <a:b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</a:br>
          <a:b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  <a:t>• Peak hours contribute 26.95% of total energy consumption.</a:t>
          </a:r>
          <a:b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  <a:t>• Highest energy usage observed during evening hours.</a:t>
          </a:r>
          <a:b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  <a:t>• December recorded the highest monthly consumption.</a:t>
          </a:r>
          <a:b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  <a:t>• August recorded the lowest monthly consumption.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781993</xdr:colOff>
      <xdr:row>7</xdr:row>
      <xdr:rowOff>147835</xdr:rowOff>
    </xdr:from>
    <xdr:to>
      <xdr:col>9</xdr:col>
      <xdr:colOff>347050</xdr:colOff>
      <xdr:row>22</xdr:row>
      <xdr:rowOff>147835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24C06-4EAF-4E76-A026-C47A4B11C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9313</xdr:colOff>
      <xdr:row>3</xdr:row>
      <xdr:rowOff>16510</xdr:rowOff>
    </xdr:from>
    <xdr:to>
      <xdr:col>11</xdr:col>
      <xdr:colOff>314113</xdr:colOff>
      <xdr:row>18</xdr:row>
      <xdr:rowOff>16510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F8BCE-B376-45AB-977E-FB8DE6BE5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452143</xdr:colOff>
      <xdr:row>20</xdr:row>
      <xdr:rowOff>118982</xdr:rowOff>
    </xdr:from>
    <xdr:to>
      <xdr:col>11</xdr:col>
      <xdr:colOff>142264</xdr:colOff>
      <xdr:row>36</xdr:row>
      <xdr:rowOff>27547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40FB6-FF4B-407A-B4DB-87C3B1717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-Consumption-Peak-Load-Analysis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ayuresh Patil" refreshedDate="46082.158363888891" createdVersion="8" refreshedVersion="8" minRefreshableVersion="3" recordCount="1048575" xr:uid="{1CB7CBEB-5687-4964-AD59-91831003FEC5}">
  <cacheSource type="worksheet">
    <worksheetSource name="ENERGY_DATA_CSV" r:id="rId1"/>
  </cacheSource>
  <cacheFields count="13">
    <cacheField name="date" numFmtId="14">
      <sharedItems containsSemiMixedTypes="0" containsNonDate="0" containsDate="1" containsString="0" minDate="2006-12-16T00:00:00" maxDate="2008-12-14T00:00:00"/>
    </cacheField>
    <cacheField name="time" numFmtId="164">
      <sharedItems containsSemiMixedTypes="0" containsNonDate="0" containsDate="1" containsString="0" minDate="1899-12-30T00:00:00" maxDate="1899-12-30T23:59:00"/>
    </cacheField>
    <cacheField name="energy_kwh" numFmtId="0">
      <sharedItems containsString="0" containsBlank="1" containsNumber="1" minValue="7.5999999999999998E-2" maxValue="10.67"/>
    </cacheField>
    <cacheField name="reactive power" numFmtId="0">
      <sharedItems containsString="0" containsBlank="1" containsNumber="1" minValue="0" maxValue="1.39"/>
    </cacheField>
    <cacheField name="voltage" numFmtId="0">
      <sharedItems containsString="0" containsBlank="1" containsNumber="1" minValue="223.49" maxValue="252.14"/>
    </cacheField>
    <cacheField name="intensity" numFmtId="0">
      <sharedItems containsString="0" containsBlank="1" containsNumber="1" minValue="0.2" maxValue="46.4"/>
    </cacheField>
    <cacheField name="metering_1" numFmtId="0">
      <sharedItems containsString="0" containsBlank="1" containsNumber="1" containsInteger="1" minValue="0" maxValue="80"/>
    </cacheField>
    <cacheField name="metering_2" numFmtId="0">
      <sharedItems containsString="0" containsBlank="1" containsNumber="1" containsInteger="1" minValue="0" maxValue="78"/>
    </cacheField>
    <cacheField name="metering_3" numFmtId="0">
      <sharedItems containsString="0" containsBlank="1" containsNumber="1" containsInteger="1" minValue="0" maxValue="31"/>
    </cacheField>
    <cacheField name="hour" numFmtId="0">
      <sharedItems containsSemiMixedTypes="0" containsString="0" containsNumber="1" containsInteger="1" minValue="0" maxValue="23" count="24">
        <n v="17"/>
        <n v="18"/>
        <n v="19"/>
        <n v="20"/>
        <n v="21"/>
        <n v="22"/>
        <n v="23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day" numFmtId="0">
      <sharedItems/>
    </cacheField>
    <cacheField name="month" numFmtId="0">
      <sharedItems count="12">
        <s v="Dec"/>
        <s v="Jan"/>
        <s v="Feb"/>
        <s v="Mar"/>
        <s v="Apr"/>
        <s v="May"/>
        <s v="Jun"/>
        <s v="Jul"/>
        <s v="Aug"/>
        <s v="Sep"/>
        <s v="Oct"/>
        <s v="Nov"/>
      </sharedItems>
    </cacheField>
    <cacheField name="peak_status" numFmtId="0">
      <sharedItems count="2">
        <s v="off- peak"/>
        <s v="pe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A3D01-3AA3-45C4-96B5-12B61C6C8C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E4:F7" firstHeaderRow="1" firstDataRow="1" firstDataCol="1"/>
  <pivotFields count="13">
    <pivotField numFmtId="1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energy_kwh" fld="2" baseField="12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2" type="button" dataOnly="0" labelOnly="1" outline="0" axis="axisRow" fieldPosition="0"/>
    </format>
    <format dxfId="9">
      <pivotArea dataOnly="0" labelOnly="1" fieldPosition="0">
        <references count="1">
          <reference field="12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E4CC1-5BF5-4E94-9E84-357064A80C8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B4:C17" firstHeaderRow="1" firstDataRow="1" firstDataCol="1"/>
  <pivotFields count="13">
    <pivotField numFmtId="1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nergy_kwh" fld="2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D0FB-ED09-4114-A427-70CA81ACC56C}">
  <dimension ref="A1:I5"/>
  <sheetViews>
    <sheetView showGridLines="0" zoomScale="50" zoomScaleNormal="85" workbookViewId="0">
      <selection activeCell="C53" sqref="C53"/>
    </sheetView>
  </sheetViews>
  <sheetFormatPr defaultRowHeight="14.4" x14ac:dyDescent="0.3"/>
  <cols>
    <col min="1" max="1" width="28.44140625" bestFit="1" customWidth="1"/>
    <col min="3" max="3" width="44.5546875" bestFit="1" customWidth="1"/>
    <col min="5" max="5" width="34.6640625" bestFit="1" customWidth="1"/>
  </cols>
  <sheetData>
    <row r="1" spans="1:9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4" spans="1:9" ht="18" x14ac:dyDescent="0.35">
      <c r="A4" s="3" t="s">
        <v>1</v>
      </c>
      <c r="C4" s="3" t="s">
        <v>2</v>
      </c>
      <c r="E4" s="3" t="s">
        <v>3</v>
      </c>
      <c r="G4" s="4" t="s">
        <v>4</v>
      </c>
      <c r="H4" s="4"/>
      <c r="I4" s="4"/>
    </row>
    <row r="5" spans="1:9" ht="28.8" x14ac:dyDescent="0.55000000000000004">
      <c r="A5" s="5">
        <v>1157523.8140002</v>
      </c>
      <c r="C5" s="6">
        <v>1.1082021682977425</v>
      </c>
      <c r="E5" s="7">
        <v>312002.28399999731</v>
      </c>
      <c r="G5" s="8">
        <f>E5/A5</f>
        <v>0.26954286402261735</v>
      </c>
      <c r="H5" s="8"/>
      <c r="I5" s="8"/>
    </row>
  </sheetData>
  <mergeCells count="3">
    <mergeCell ref="A1:I2"/>
    <mergeCell ref="G4:I4"/>
    <mergeCell ref="G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F270-19F2-4173-849A-E8C7D42E6356}">
  <dimension ref="A1:L7"/>
  <sheetViews>
    <sheetView showGridLines="0" workbookViewId="0">
      <selection activeCell="K6" sqref="K6"/>
    </sheetView>
  </sheetViews>
  <sheetFormatPr defaultRowHeight="14.4" x14ac:dyDescent="0.3"/>
  <cols>
    <col min="1" max="1" width="12.44140625" bestFit="1" customWidth="1"/>
    <col min="2" max="2" width="16.6640625" bestFit="1" customWidth="1"/>
    <col min="6" max="6" width="17.5546875" bestFit="1" customWidth="1"/>
  </cols>
  <sheetData>
    <row r="1" spans="1:12" ht="17.399999999999999" customHeight="1" x14ac:dyDescent="0.3">
      <c r="A1" s="9" t="s">
        <v>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3">
      <c r="E4" s="12" t="s">
        <v>6</v>
      </c>
      <c r="F4" s="10" t="s">
        <v>7</v>
      </c>
    </row>
    <row r="5" spans="1:12" x14ac:dyDescent="0.3">
      <c r="E5" s="11" t="s">
        <v>8</v>
      </c>
      <c r="F5" s="10">
        <v>845521.53000020457</v>
      </c>
    </row>
    <row r="6" spans="1:12" x14ac:dyDescent="0.3">
      <c r="E6" s="11" t="s">
        <v>9</v>
      </c>
      <c r="F6" s="10">
        <v>312002.28399999731</v>
      </c>
    </row>
    <row r="7" spans="1:12" x14ac:dyDescent="0.3">
      <c r="E7" s="11" t="s">
        <v>10</v>
      </c>
      <c r="F7" s="10">
        <v>1157523.8140002019</v>
      </c>
    </row>
  </sheetData>
  <mergeCells count="1">
    <mergeCell ref="A1:L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9117-1EB0-49A8-AC41-F417477DB380}">
  <dimension ref="A1:L17"/>
  <sheetViews>
    <sheetView showGridLines="0" tabSelected="1" topLeftCell="A2" zoomScale="65" workbookViewId="0">
      <selection activeCell="O24" sqref="O24"/>
    </sheetView>
  </sheetViews>
  <sheetFormatPr defaultRowHeight="14.4" x14ac:dyDescent="0.3"/>
  <cols>
    <col min="1" max="1" width="12.44140625" bestFit="1" customWidth="1"/>
    <col min="2" max="2" width="16.6640625" bestFit="1" customWidth="1"/>
    <col min="3" max="3" width="18.109375" bestFit="1" customWidth="1"/>
  </cols>
  <sheetData>
    <row r="1" spans="1:12" x14ac:dyDescent="0.3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3">
      <c r="B4" s="12" t="s">
        <v>6</v>
      </c>
      <c r="C4" s="10" t="s">
        <v>7</v>
      </c>
    </row>
    <row r="5" spans="1:12" x14ac:dyDescent="0.3">
      <c r="B5" s="11" t="s">
        <v>12</v>
      </c>
      <c r="C5" s="10">
        <v>134181.24399999704</v>
      </c>
    </row>
    <row r="6" spans="1:12" x14ac:dyDescent="0.3">
      <c r="B6" s="11" t="s">
        <v>13</v>
      </c>
      <c r="C6" s="10">
        <v>105819.95800000709</v>
      </c>
    </row>
    <row r="7" spans="1:12" x14ac:dyDescent="0.3">
      <c r="B7" s="11" t="s">
        <v>14</v>
      </c>
      <c r="C7" s="10">
        <v>114452.78599999606</v>
      </c>
    </row>
    <row r="8" spans="1:12" x14ac:dyDescent="0.3">
      <c r="B8" s="11" t="s">
        <v>15</v>
      </c>
      <c r="C8" s="10">
        <v>83391.458000003273</v>
      </c>
    </row>
    <row r="9" spans="1:12" x14ac:dyDescent="0.3">
      <c r="B9" s="11" t="s">
        <v>16</v>
      </c>
      <c r="C9" s="10">
        <v>89730.731999995405</v>
      </c>
    </row>
    <row r="10" spans="1:12" x14ac:dyDescent="0.3">
      <c r="B10" s="11" t="s">
        <v>17</v>
      </c>
      <c r="C10" s="10">
        <v>78626.800000007424</v>
      </c>
    </row>
    <row r="11" spans="1:12" x14ac:dyDescent="0.3">
      <c r="B11" s="11" t="s">
        <v>18</v>
      </c>
      <c r="C11" s="10">
        <v>65181.247999999607</v>
      </c>
    </row>
    <row r="12" spans="1:12" x14ac:dyDescent="0.3">
      <c r="B12" s="11" t="s">
        <v>19</v>
      </c>
      <c r="C12" s="10">
        <v>46438.340000027412</v>
      </c>
    </row>
    <row r="13" spans="1:12" x14ac:dyDescent="0.3">
      <c r="B13" s="11" t="s">
        <v>20</v>
      </c>
      <c r="C13" s="10">
        <v>84540.398000000365</v>
      </c>
    </row>
    <row r="14" spans="1:12" x14ac:dyDescent="0.3">
      <c r="B14" s="11" t="s">
        <v>21</v>
      </c>
      <c r="C14" s="10">
        <v>99972.830000000278</v>
      </c>
    </row>
    <row r="15" spans="1:12" x14ac:dyDescent="0.3">
      <c r="B15" s="11" t="s">
        <v>22</v>
      </c>
      <c r="C15" s="10">
        <v>115827.40400000315</v>
      </c>
    </row>
    <row r="16" spans="1:12" x14ac:dyDescent="0.3">
      <c r="B16" s="11" t="s">
        <v>23</v>
      </c>
      <c r="C16" s="10">
        <v>139360.61599999931</v>
      </c>
    </row>
    <row r="17" spans="2:3" x14ac:dyDescent="0.3">
      <c r="B17" s="11" t="s">
        <v>10</v>
      </c>
      <c r="C17" s="10">
        <v>1157523.8140000363</v>
      </c>
    </row>
  </sheetData>
  <mergeCells count="1">
    <mergeCell ref="A1:L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Dashboard_Overview</vt:lpstr>
      <vt:lpstr>Peak_Load_Analysis</vt:lpstr>
      <vt:lpstr>Monthly_Trend_Analysis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Patil</dc:creator>
  <cp:lastModifiedBy>Mayuresh Patil</cp:lastModifiedBy>
  <dcterms:created xsi:type="dcterms:W3CDTF">2026-06-11T17:05:28Z</dcterms:created>
  <dcterms:modified xsi:type="dcterms:W3CDTF">2026-06-11T17:12:35Z</dcterms:modified>
</cp:coreProperties>
</file>